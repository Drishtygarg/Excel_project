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b7f1bff349d1a6/Documents/"/>
    </mc:Choice>
  </mc:AlternateContent>
  <xr:revisionPtr revIDLastSave="0" documentId="8_{6167914D-F997-4A31-8071-6D1601012F1A}" xr6:coauthVersionLast="47" xr6:coauthVersionMax="47" xr10:uidLastSave="{00000000-0000-0000-0000-000000000000}"/>
  <bookViews>
    <workbookView xWindow="-108" yWindow="-108" windowWidth="23256" windowHeight="12456" activeTab="1" xr2:uid="{92A93FEE-6460-4509-B239-D5EE04CBB4C4}"/>
  </bookViews>
  <sheets>
    <sheet name="Sheet2" sheetId="2" r:id="rId1"/>
    <sheet name="Sheet1" sheetId="1" r:id="rId2"/>
  </sheets>
  <calcPr calcId="191029"/>
  <pivotCaches>
    <pivotCache cacheId="2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9" i="1"/>
  <c r="E18" i="1"/>
</calcChain>
</file>

<file path=xl/sharedStrings.xml><?xml version="1.0" encoding="utf-8"?>
<sst xmlns="http://schemas.openxmlformats.org/spreadsheetml/2006/main" count="50" uniqueCount="29">
  <si>
    <t>ITEM</t>
  </si>
  <si>
    <t>CATEGORY</t>
  </si>
  <si>
    <t>DATE</t>
  </si>
  <si>
    <t>Pizza</t>
  </si>
  <si>
    <t>Movie</t>
  </si>
  <si>
    <t>Cold Drink</t>
  </si>
  <si>
    <t>Note Book</t>
  </si>
  <si>
    <t>Pen</t>
  </si>
  <si>
    <t>Food</t>
  </si>
  <si>
    <t>Travel</t>
  </si>
  <si>
    <t>Entertainment</t>
  </si>
  <si>
    <t>Stationery</t>
  </si>
  <si>
    <t>Lipstick</t>
  </si>
  <si>
    <t>Shopping</t>
  </si>
  <si>
    <t>Ice Cream</t>
  </si>
  <si>
    <t>Bus Fare</t>
  </si>
  <si>
    <t>Dress</t>
  </si>
  <si>
    <t>Hair clips</t>
  </si>
  <si>
    <t>Video games</t>
  </si>
  <si>
    <t>Row Labels</t>
  </si>
  <si>
    <t>Grand Total</t>
  </si>
  <si>
    <t>AMOUNT(₹)</t>
  </si>
  <si>
    <t>Netflix</t>
  </si>
  <si>
    <t>Metro Fare</t>
  </si>
  <si>
    <t>TOTAL</t>
  </si>
  <si>
    <t>AVERAGE</t>
  </si>
  <si>
    <t>MAX</t>
  </si>
  <si>
    <t>MIN</t>
  </si>
  <si>
    <t>Sum of AMOUNT(₹)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</si>
</sst>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99"/>
      <color rgb="FFFF99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 MINI ASSIGNMENT.xlsx]Sheet2!PivotTable15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Sheet2!$A$4:$A$9</c:f>
              <c:strCache>
                <c:ptCount val="5"/>
                <c:pt idx="0">
                  <c:v>Entertainment</c:v>
                </c:pt>
                <c:pt idx="1">
                  <c:v>Food</c:v>
                </c:pt>
                <c:pt idx="2">
                  <c:v>Shopping</c:v>
                </c:pt>
                <c:pt idx="3">
                  <c:v>Stationery</c:v>
                </c:pt>
                <c:pt idx="4">
                  <c:v>Travel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5850</c:v>
                </c:pt>
                <c:pt idx="1">
                  <c:v>750</c:v>
                </c:pt>
                <c:pt idx="2">
                  <c:v>6350</c:v>
                </c:pt>
                <c:pt idx="3">
                  <c:v>900</c:v>
                </c:pt>
                <c:pt idx="4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2-4135-8C4C-23C1220A8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 MINI ASSIGNMENT.xlsx]Sheet1!PivotTable16</c:name>
    <c:fmtId val="3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FF99CC"/>
          </a:solidFill>
          <a:ln>
            <a:noFill/>
          </a:ln>
          <a:effectLst/>
        </c:spPr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solidFill>
            <a:srgbClr val="009999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Sheet1!$I$6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7CA-411B-AA89-918071E562C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7CA-411B-AA89-918071E562C5}"/>
              </c:ext>
            </c:extLst>
          </c:dPt>
          <c:dPt>
            <c:idx val="2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CA-411B-AA89-918071E562C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7CA-411B-AA89-918071E562C5}"/>
              </c:ext>
            </c:extLst>
          </c:dPt>
          <c:dPt>
            <c:idx val="4"/>
            <c:bubble3D val="0"/>
            <c:spPr>
              <a:solidFill>
                <a:srgbClr val="0099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7CA-411B-AA89-918071E562C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Sheet1!$H$7:$H$12</c:f>
              <c:strCache>
                <c:ptCount val="5"/>
                <c:pt idx="0">
                  <c:v>Entertainment</c:v>
                </c:pt>
                <c:pt idx="1">
                  <c:v>Food</c:v>
                </c:pt>
                <c:pt idx="2">
                  <c:v>Shopping</c:v>
                </c:pt>
                <c:pt idx="3">
                  <c:v>Stationery</c:v>
                </c:pt>
                <c:pt idx="4">
                  <c:v>Travel</c:v>
                </c:pt>
              </c:strCache>
            </c:strRef>
          </c:cat>
          <c:val>
            <c:numRef>
              <c:f>Sheet1!$I$7:$I$12</c:f>
              <c:numCache>
                <c:formatCode>General</c:formatCode>
                <c:ptCount val="5"/>
                <c:pt idx="0">
                  <c:v>5850</c:v>
                </c:pt>
                <c:pt idx="1">
                  <c:v>750</c:v>
                </c:pt>
                <c:pt idx="2">
                  <c:v>6350</c:v>
                </c:pt>
                <c:pt idx="3">
                  <c:v>900</c:v>
                </c:pt>
                <c:pt idx="4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A-411B-AA89-918071E56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6</xdr:row>
      <xdr:rowOff>41910</xdr:rowOff>
    </xdr:from>
    <xdr:to>
      <xdr:col>11</xdr:col>
      <xdr:colOff>114300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38D53E-CD0E-98BE-481F-D19C14564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358140</xdr:colOff>
      <xdr:row>14</xdr:row>
      <xdr:rowOff>156210</xdr:rowOff>
    </xdr:from>
    <xdr:to>
      <xdr:col>12</xdr:col>
      <xdr:colOff>327660</xdr:colOff>
      <xdr:row>29</xdr:row>
      <xdr:rowOff>156210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7BA84B-F30B-99EC-764F-F786DE32A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rish" refreshedDate="45928.613289699075" createdVersion="8" refreshedVersion="8" minRefreshableVersion="3" recordCount="13" xr:uid="{95E2CACF-277A-4E05-93C1-40422B2C8998}">
  <cacheSource type="worksheet">
    <worksheetSource ref="C3:F16" sheet="Sheet1"/>
  </cacheSource>
  <cacheFields count="4">
    <cacheField name="ITEM" numFmtId="0">
      <sharedItems/>
    </cacheField>
    <cacheField name="CATEGORY" numFmtId="0">
      <sharedItems count="5">
        <s v="Food"/>
        <s v="Travel"/>
        <s v="Entertainment"/>
        <s v="Stationery"/>
        <s v="Shopping"/>
      </sharedItems>
    </cacheField>
    <cacheField name="AMOUNT(₹)" numFmtId="0">
      <sharedItems containsSemiMixedTypes="0" containsString="0" containsNumber="1" containsInteger="1" minValue="150" maxValue="5000"/>
    </cacheField>
    <cacheField name="DATE" numFmtId="15">
      <sharedItems containsSemiMixedTypes="0" containsNonDate="0" containsDate="1" containsString="0" minDate="2025-09-21T00:00:00" maxDate="2025-09-2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Pizza"/>
    <x v="0"/>
    <n v="400"/>
    <d v="2025-09-21T00:00:00"/>
  </r>
  <r>
    <s v="Metro Fare"/>
    <x v="1"/>
    <n v="500"/>
    <d v="2025-09-21T00:00:00"/>
  </r>
  <r>
    <s v="Movie"/>
    <x v="2"/>
    <n v="1000"/>
    <d v="2025-09-21T00:00:00"/>
  </r>
  <r>
    <s v="Cold Drink"/>
    <x v="0"/>
    <n v="200"/>
    <d v="2025-09-22T00:00:00"/>
  </r>
  <r>
    <s v="Note Book"/>
    <x v="3"/>
    <n v="750"/>
    <d v="2025-09-25T00:00:00"/>
  </r>
  <r>
    <s v="Pen"/>
    <x v="3"/>
    <n v="150"/>
    <d v="2025-09-25T00:00:00"/>
  </r>
  <r>
    <s v="Lipstick"/>
    <x v="4"/>
    <n v="800"/>
    <d v="2025-09-26T00:00:00"/>
  </r>
  <r>
    <s v="Ice Cream"/>
    <x v="0"/>
    <n v="150"/>
    <d v="2025-09-22T00:00:00"/>
  </r>
  <r>
    <s v="Bus Fare"/>
    <x v="1"/>
    <n v="1100"/>
    <d v="2025-09-23T00:00:00"/>
  </r>
  <r>
    <s v="Dress"/>
    <x v="4"/>
    <n v="5000"/>
    <d v="2025-09-26T00:00:00"/>
  </r>
  <r>
    <s v="Hair clips"/>
    <x v="4"/>
    <n v="550"/>
    <d v="2025-09-27T00:00:00"/>
  </r>
  <r>
    <s v="Video games"/>
    <x v="2"/>
    <n v="4500"/>
    <d v="2025-09-27T00:00:00"/>
  </r>
  <r>
    <s v="Netflix"/>
    <x v="2"/>
    <n v="350"/>
    <d v="2025-09-27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E028B-29A5-48D7-AF9F-D59C4E579C42}" name="PivotTable1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4">
    <pivotField showAll="0"/>
    <pivotField axis="axisRow" showAll="0">
      <items count="6">
        <item x="2"/>
        <item x="0"/>
        <item x="4"/>
        <item x="3"/>
        <item x="1"/>
        <item t="default"/>
      </items>
    </pivotField>
    <pivotField dataField="1" showAll="0"/>
    <pivotField numFmtId="15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(₹)" fld="2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C538F-24F1-458B-BFD7-3EBBB0F6BD54}" name="PivotTable16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H6:I12" firstHeaderRow="1" firstDataRow="1" firstDataCol="1"/>
  <pivotFields count="4">
    <pivotField showAll="0"/>
    <pivotField axis="axisRow" showAll="0">
      <items count="6">
        <item x="2"/>
        <item x="0"/>
        <item x="4"/>
        <item x="3"/>
        <item x="1"/>
        <item t="default"/>
      </items>
    </pivotField>
    <pivotField dataField="1" showAll="0"/>
    <pivotField numFmtId="15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(₹)" fld="2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2A88-15F7-4C53-871E-27BA04C75BF1}">
  <dimension ref="A3:B9"/>
  <sheetViews>
    <sheetView workbookViewId="0">
      <selection activeCell="A3" sqref="A3:B9"/>
    </sheetView>
  </sheetViews>
  <sheetFormatPr defaultRowHeight="14.4" x14ac:dyDescent="0.3"/>
  <cols>
    <col min="1" max="1" width="12.6640625" bestFit="1" customWidth="1"/>
    <col min="2" max="2" width="18" bestFit="1" customWidth="1"/>
  </cols>
  <sheetData>
    <row r="3" spans="1:2" x14ac:dyDescent="0.3">
      <c r="A3" s="6" t="s">
        <v>19</v>
      </c>
      <c r="B3" t="s">
        <v>28</v>
      </c>
    </row>
    <row r="4" spans="1:2" x14ac:dyDescent="0.3">
      <c r="A4" s="7" t="s">
        <v>10</v>
      </c>
      <c r="B4" s="8">
        <v>5850</v>
      </c>
    </row>
    <row r="5" spans="1:2" x14ac:dyDescent="0.3">
      <c r="A5" s="7" t="s">
        <v>8</v>
      </c>
      <c r="B5" s="8">
        <v>750</v>
      </c>
    </row>
    <row r="6" spans="1:2" x14ac:dyDescent="0.3">
      <c r="A6" s="7" t="s">
        <v>13</v>
      </c>
      <c r="B6" s="8">
        <v>6350</v>
      </c>
    </row>
    <row r="7" spans="1:2" x14ac:dyDescent="0.3">
      <c r="A7" s="7" t="s">
        <v>11</v>
      </c>
      <c r="B7" s="8">
        <v>900</v>
      </c>
    </row>
    <row r="8" spans="1:2" x14ac:dyDescent="0.3">
      <c r="A8" s="7" t="s">
        <v>9</v>
      </c>
      <c r="B8" s="8">
        <v>1600</v>
      </c>
    </row>
    <row r="9" spans="1:2" x14ac:dyDescent="0.3">
      <c r="A9" s="7" t="s">
        <v>20</v>
      </c>
      <c r="B9" s="8">
        <v>15450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5FA3-2115-447F-88A2-5D420DBBDA21}">
  <dimension ref="A3:I21"/>
  <sheetViews>
    <sheetView tabSelected="1" topLeftCell="A2" zoomScale="74" workbookViewId="0">
      <selection activeCell="N28" sqref="N28"/>
    </sheetView>
  </sheetViews>
  <sheetFormatPr defaultRowHeight="14.4" x14ac:dyDescent="0.3"/>
  <cols>
    <col min="1" max="1" width="11.21875" customWidth="1"/>
    <col min="2" max="2" width="12.44140625" customWidth="1"/>
    <col min="3" max="3" width="13.6640625" customWidth="1"/>
    <col min="4" max="4" width="12.88671875" customWidth="1"/>
    <col min="5" max="5" width="13.109375" customWidth="1"/>
    <col min="6" max="6" width="10.77734375" customWidth="1"/>
    <col min="8" max="8" width="12.44140625" customWidth="1"/>
    <col min="9" max="9" width="17.21875" customWidth="1"/>
    <col min="10" max="10" width="10.77734375" customWidth="1"/>
  </cols>
  <sheetData>
    <row r="3" spans="3:9" ht="18" x14ac:dyDescent="0.3">
      <c r="C3" s="1" t="s">
        <v>0</v>
      </c>
      <c r="D3" s="1" t="s">
        <v>1</v>
      </c>
      <c r="E3" s="1" t="s">
        <v>21</v>
      </c>
      <c r="F3" s="1" t="s">
        <v>2</v>
      </c>
    </row>
    <row r="4" spans="3:9" x14ac:dyDescent="0.3">
      <c r="C4" s="2" t="s">
        <v>3</v>
      </c>
      <c r="D4" s="2" t="s">
        <v>8</v>
      </c>
      <c r="E4" s="2">
        <v>400</v>
      </c>
      <c r="F4" s="3">
        <v>45921</v>
      </c>
    </row>
    <row r="5" spans="3:9" x14ac:dyDescent="0.3">
      <c r="C5" s="2" t="s">
        <v>23</v>
      </c>
      <c r="D5" s="2" t="s">
        <v>9</v>
      </c>
      <c r="E5" s="2">
        <v>500</v>
      </c>
      <c r="F5" s="3">
        <v>45921</v>
      </c>
    </row>
    <row r="6" spans="3:9" x14ac:dyDescent="0.3">
      <c r="C6" s="2" t="s">
        <v>4</v>
      </c>
      <c r="D6" s="2" t="s">
        <v>10</v>
      </c>
      <c r="E6" s="2">
        <v>1000</v>
      </c>
      <c r="F6" s="3">
        <v>45921</v>
      </c>
      <c r="H6" s="6" t="s">
        <v>19</v>
      </c>
      <c r="I6" t="s">
        <v>28</v>
      </c>
    </row>
    <row r="7" spans="3:9" x14ac:dyDescent="0.3">
      <c r="C7" s="2" t="s">
        <v>5</v>
      </c>
      <c r="D7" s="2" t="s">
        <v>8</v>
      </c>
      <c r="E7" s="2">
        <v>200</v>
      </c>
      <c r="F7" s="3">
        <v>45922</v>
      </c>
      <c r="H7" s="7" t="s">
        <v>10</v>
      </c>
      <c r="I7" s="8">
        <v>5850</v>
      </c>
    </row>
    <row r="8" spans="3:9" x14ac:dyDescent="0.3">
      <c r="C8" s="2" t="s">
        <v>6</v>
      </c>
      <c r="D8" s="2" t="s">
        <v>11</v>
      </c>
      <c r="E8" s="2">
        <v>750</v>
      </c>
      <c r="F8" s="3">
        <v>45925</v>
      </c>
      <c r="H8" s="7" t="s">
        <v>8</v>
      </c>
      <c r="I8" s="8">
        <v>750</v>
      </c>
    </row>
    <row r="9" spans="3:9" x14ac:dyDescent="0.3">
      <c r="C9" s="2" t="s">
        <v>7</v>
      </c>
      <c r="D9" s="2" t="s">
        <v>11</v>
      </c>
      <c r="E9" s="2">
        <v>150</v>
      </c>
      <c r="F9" s="3">
        <v>45925</v>
      </c>
      <c r="H9" s="7" t="s">
        <v>13</v>
      </c>
      <c r="I9" s="8">
        <v>6350</v>
      </c>
    </row>
    <row r="10" spans="3:9" x14ac:dyDescent="0.3">
      <c r="C10" s="2" t="s">
        <v>12</v>
      </c>
      <c r="D10" s="2" t="s">
        <v>13</v>
      </c>
      <c r="E10" s="2">
        <v>800</v>
      </c>
      <c r="F10" s="3">
        <v>45926</v>
      </c>
      <c r="H10" s="7" t="s">
        <v>11</v>
      </c>
      <c r="I10" s="8">
        <v>900</v>
      </c>
    </row>
    <row r="11" spans="3:9" x14ac:dyDescent="0.3">
      <c r="C11" s="2" t="s">
        <v>14</v>
      </c>
      <c r="D11" s="2" t="s">
        <v>8</v>
      </c>
      <c r="E11" s="2">
        <v>150</v>
      </c>
      <c r="F11" s="3">
        <v>45922</v>
      </c>
      <c r="H11" s="7" t="s">
        <v>9</v>
      </c>
      <c r="I11" s="8">
        <v>1600</v>
      </c>
    </row>
    <row r="12" spans="3:9" x14ac:dyDescent="0.3">
      <c r="C12" s="2" t="s">
        <v>15</v>
      </c>
      <c r="D12" s="2" t="s">
        <v>9</v>
      </c>
      <c r="E12" s="2">
        <v>1100</v>
      </c>
      <c r="F12" s="3">
        <v>45923</v>
      </c>
      <c r="H12" s="7" t="s">
        <v>20</v>
      </c>
      <c r="I12" s="8">
        <v>15450</v>
      </c>
    </row>
    <row r="13" spans="3:9" x14ac:dyDescent="0.3">
      <c r="C13" s="2" t="s">
        <v>16</v>
      </c>
      <c r="D13" s="2" t="s">
        <v>13</v>
      </c>
      <c r="E13" s="2">
        <v>5000</v>
      </c>
      <c r="F13" s="3">
        <v>45926</v>
      </c>
    </row>
    <row r="14" spans="3:9" x14ac:dyDescent="0.3">
      <c r="C14" s="2" t="s">
        <v>17</v>
      </c>
      <c r="D14" s="2" t="s">
        <v>13</v>
      </c>
      <c r="E14" s="2">
        <v>550</v>
      </c>
      <c r="F14" s="3">
        <v>45927</v>
      </c>
    </row>
    <row r="15" spans="3:9" x14ac:dyDescent="0.3">
      <c r="C15" s="2" t="s">
        <v>18</v>
      </c>
      <c r="D15" s="2" t="s">
        <v>10</v>
      </c>
      <c r="E15" s="2">
        <v>4500</v>
      </c>
      <c r="F15" s="3">
        <v>45927</v>
      </c>
    </row>
    <row r="16" spans="3:9" x14ac:dyDescent="0.3">
      <c r="C16" s="2" t="s">
        <v>22</v>
      </c>
      <c r="D16" s="2" t="s">
        <v>10</v>
      </c>
      <c r="E16" s="2">
        <v>350</v>
      </c>
      <c r="F16" s="3">
        <v>45927</v>
      </c>
    </row>
    <row r="17" spans="1:6" x14ac:dyDescent="0.3">
      <c r="C17" s="2"/>
      <c r="D17" s="2"/>
      <c r="E17" s="2"/>
      <c r="F17" s="2"/>
    </row>
    <row r="18" spans="1:6" x14ac:dyDescent="0.3">
      <c r="C18" s="4" t="s">
        <v>24</v>
      </c>
      <c r="D18" s="2"/>
      <c r="E18" s="2">
        <f>SUM(E4:E16)</f>
        <v>15450</v>
      </c>
      <c r="F18" s="2"/>
    </row>
    <row r="19" spans="1:6" x14ac:dyDescent="0.3">
      <c r="C19" s="4" t="s">
        <v>25</v>
      </c>
      <c r="D19" s="2"/>
      <c r="E19" s="2">
        <f>AVERAGE(E4:E16)</f>
        <v>1188.4615384615386</v>
      </c>
      <c r="F19" s="2"/>
    </row>
    <row r="20" spans="1:6" x14ac:dyDescent="0.3">
      <c r="C20" s="4" t="s">
        <v>26</v>
      </c>
      <c r="D20" s="2"/>
      <c r="E20" s="2">
        <f>MAX(E4:E16)</f>
        <v>5000</v>
      </c>
      <c r="F20" s="2"/>
    </row>
    <row r="21" spans="1:6" x14ac:dyDescent="0.3">
      <c r="A21" s="5"/>
      <c r="C21" s="4" t="s">
        <v>27</v>
      </c>
      <c r="D21" s="2"/>
      <c r="E21" s="2">
        <f>MIN(E4:E16)</f>
        <v>150</v>
      </c>
      <c r="F21" s="2"/>
    </row>
  </sheetData>
  <conditionalFormatting sqref="D18:D2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8:E2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drishty garg</dc:creator>
  <cp:lastModifiedBy>drishty garg</cp:lastModifiedBy>
  <cp:lastPrinted>2025-09-28T08:39:30Z</cp:lastPrinted>
  <dcterms:created xsi:type="dcterms:W3CDTF">2025-09-28T08:01:01Z</dcterms:created>
  <dcterms:modified xsi:type="dcterms:W3CDTF">2025-09-28T09:29:09Z</dcterms:modified>
</cp:coreProperties>
</file>